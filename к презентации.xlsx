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E4FFA524-8D30-4CA7-A897-BCE297DE8E5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Кредит" sheetId="1" r:id="rId1"/>
    <sheet name="Б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2" l="1"/>
  <c r="E13" i="2"/>
  <c r="F13" i="1"/>
  <c r="E13" i="1"/>
  <c r="D13" i="2" l="1"/>
  <c r="C13" i="2"/>
  <c r="C14" i="2" s="1"/>
  <c r="B13" i="2"/>
  <c r="B13" i="1" l="1"/>
  <c r="C13" i="1"/>
  <c r="D13" i="1"/>
</calcChain>
</file>

<file path=xl/sharedStrings.xml><?xml version="1.0" encoding="utf-8"?>
<sst xmlns="http://schemas.openxmlformats.org/spreadsheetml/2006/main" count="36" uniqueCount="18">
  <si>
    <t>Источник</t>
  </si>
  <si>
    <t>Количество новых лидов</t>
  </si>
  <si>
    <t>Количество сделок</t>
  </si>
  <si>
    <t>Количество оплат</t>
  </si>
  <si>
    <t>Сумма</t>
  </si>
  <si>
    <t>Мониторинг</t>
  </si>
  <si>
    <t>Робот Кредит</t>
  </si>
  <si>
    <t>Аутрич Соня</t>
  </si>
  <si>
    <t>Аутрич</t>
  </si>
  <si>
    <t>Холодная база</t>
  </si>
  <si>
    <t>Рекомендации</t>
  </si>
  <si>
    <t>Агент Бусик</t>
  </si>
  <si>
    <t>Ефин</t>
  </si>
  <si>
    <t>Лид от ГРУПП/Право</t>
  </si>
  <si>
    <t>др Агенты</t>
  </si>
  <si>
    <t>Старая База</t>
  </si>
  <si>
    <t>Итого</t>
  </si>
  <si>
    <t>Затраты на канал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</si>
</sst>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 shrinkToFit="1"/>
    </xf>
    <xf numFmtId="0" fontId="1" fillId="0" borderId="1" xfId="0" applyFont="1" applyFill="1" applyBorder="1" applyAlignment="1">
      <alignment wrapText="1" shrinkToFit="1"/>
    </xf>
    <xf numFmtId="0" fontId="0" fillId="0" borderId="1" xfId="0" applyBorder="1" applyAlignment="1">
      <alignment horizontal="center" wrapText="1" shrinkToFit="1"/>
    </xf>
    <xf numFmtId="0" fontId="0" fillId="0" borderId="1" xfId="0" applyFill="1" applyBorder="1" applyAlignment="1">
      <alignment horizontal="center" wrapText="1" shrinkToFit="1"/>
    </xf>
    <xf numFmtId="3" fontId="0" fillId="0" borderId="1" xfId="0" applyNumberFormat="1" applyBorder="1" applyAlignment="1">
      <alignment horizontal="center" wrapText="1" shrinkToFit="1"/>
    </xf>
    <xf numFmtId="3" fontId="0" fillId="0" borderId="1" xfId="0" applyNumberFormat="1" applyFill="1" applyBorder="1" applyAlignment="1">
      <alignment horizont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F13"/>
    </sheetView>
  </sheetViews>
  <sheetFormatPr defaultRowHeight="14.4" x14ac:dyDescent="0.3"/>
  <cols>
    <col min="1" max="1" width="15.33203125" customWidth="1"/>
    <col min="2" max="2" width="15.5546875" customWidth="1"/>
    <col min="3" max="3" width="17.6640625" customWidth="1"/>
    <col min="4" max="4" width="11.77734375" customWidth="1"/>
    <col min="5" max="5" width="11.33203125" customWidth="1"/>
    <col min="6" max="6" width="1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17</v>
      </c>
    </row>
    <row r="2" spans="1:6" x14ac:dyDescent="0.3">
      <c r="A2" s="1" t="s">
        <v>5</v>
      </c>
      <c r="B2" s="3">
        <v>382</v>
      </c>
      <c r="C2" s="3">
        <v>16</v>
      </c>
      <c r="D2" s="3">
        <v>5</v>
      </c>
      <c r="E2" s="5">
        <v>1290900</v>
      </c>
      <c r="F2" s="6">
        <v>200000</v>
      </c>
    </row>
    <row r="3" spans="1:6" x14ac:dyDescent="0.3">
      <c r="A3" s="1" t="s">
        <v>6</v>
      </c>
      <c r="B3" s="3">
        <v>411</v>
      </c>
      <c r="C3" s="3">
        <v>10</v>
      </c>
      <c r="D3" s="3">
        <v>1</v>
      </c>
      <c r="E3" s="5">
        <v>270000</v>
      </c>
      <c r="F3" s="4">
        <v>0</v>
      </c>
    </row>
    <row r="4" spans="1:6" x14ac:dyDescent="0.3">
      <c r="A4" s="1" t="s">
        <v>8</v>
      </c>
      <c r="B4" s="3">
        <v>44</v>
      </c>
      <c r="C4" s="3">
        <v>3</v>
      </c>
      <c r="D4" s="3">
        <v>0</v>
      </c>
      <c r="E4" s="3">
        <v>0</v>
      </c>
      <c r="F4" s="6">
        <v>200000</v>
      </c>
    </row>
    <row r="5" spans="1:6" x14ac:dyDescent="0.3">
      <c r="A5" s="1" t="s">
        <v>7</v>
      </c>
      <c r="B5" s="3">
        <v>20</v>
      </c>
      <c r="C5" s="3">
        <v>1</v>
      </c>
      <c r="D5" s="3">
        <v>0</v>
      </c>
      <c r="E5" s="3">
        <v>0</v>
      </c>
      <c r="F5" s="6">
        <v>43700</v>
      </c>
    </row>
    <row r="6" spans="1:6" x14ac:dyDescent="0.3">
      <c r="A6" s="1" t="s">
        <v>9</v>
      </c>
      <c r="B6" s="3">
        <v>3</v>
      </c>
      <c r="C6" s="3">
        <v>2</v>
      </c>
      <c r="D6" s="3">
        <v>1</v>
      </c>
      <c r="E6" s="5">
        <v>420000</v>
      </c>
      <c r="F6" s="4">
        <v>0</v>
      </c>
    </row>
    <row r="7" spans="1:6" x14ac:dyDescent="0.3">
      <c r="A7" s="1" t="s">
        <v>10</v>
      </c>
      <c r="B7" s="3">
        <v>0</v>
      </c>
      <c r="C7" s="3">
        <v>1</v>
      </c>
      <c r="D7" s="3">
        <v>0</v>
      </c>
      <c r="E7" s="3"/>
      <c r="F7" s="4">
        <v>0</v>
      </c>
    </row>
    <row r="8" spans="1:6" x14ac:dyDescent="0.3">
      <c r="A8" s="1" t="s">
        <v>11</v>
      </c>
      <c r="B8" s="3">
        <v>74</v>
      </c>
      <c r="C8" s="3">
        <v>0</v>
      </c>
      <c r="D8" s="3">
        <v>0</v>
      </c>
      <c r="E8" s="3">
        <v>0</v>
      </c>
      <c r="F8" s="4">
        <v>0</v>
      </c>
    </row>
    <row r="9" spans="1:6" x14ac:dyDescent="0.3">
      <c r="A9" s="1" t="s">
        <v>12</v>
      </c>
      <c r="B9" s="3">
        <v>12</v>
      </c>
      <c r="C9" s="3">
        <v>4</v>
      </c>
      <c r="D9" s="3">
        <v>0</v>
      </c>
      <c r="E9" s="3">
        <v>0</v>
      </c>
      <c r="F9" s="4">
        <v>0</v>
      </c>
    </row>
    <row r="10" spans="1:6" ht="28.8" x14ac:dyDescent="0.3">
      <c r="A10" s="1" t="s">
        <v>13</v>
      </c>
      <c r="B10" s="3">
        <v>5</v>
      </c>
      <c r="C10" s="3">
        <v>1</v>
      </c>
      <c r="D10" s="3">
        <v>0</v>
      </c>
      <c r="E10" s="3">
        <v>0</v>
      </c>
      <c r="F10" s="4">
        <v>0</v>
      </c>
    </row>
    <row r="11" spans="1:6" x14ac:dyDescent="0.3">
      <c r="A11" s="1" t="s">
        <v>14</v>
      </c>
      <c r="B11" s="3">
        <v>4</v>
      </c>
      <c r="C11" s="3">
        <v>4</v>
      </c>
      <c r="D11" s="3">
        <v>0</v>
      </c>
      <c r="E11" s="3">
        <v>0</v>
      </c>
      <c r="F11" s="4">
        <v>0</v>
      </c>
    </row>
    <row r="12" spans="1:6" x14ac:dyDescent="0.3">
      <c r="A12" s="1" t="s">
        <v>15</v>
      </c>
      <c r="B12" s="3">
        <v>0</v>
      </c>
      <c r="C12" s="3">
        <v>5</v>
      </c>
      <c r="D12" s="3">
        <v>3</v>
      </c>
      <c r="E12" s="5">
        <v>757500</v>
      </c>
      <c r="F12" s="4">
        <v>0</v>
      </c>
    </row>
    <row r="13" spans="1:6" x14ac:dyDescent="0.3">
      <c r="A13" s="1" t="s">
        <v>16</v>
      </c>
      <c r="B13" s="3">
        <f>SUM(B2:B12)</f>
        <v>955</v>
      </c>
      <c r="C13" s="3">
        <f>SUM(C2:C12)</f>
        <v>47</v>
      </c>
      <c r="D13" s="3">
        <f>SUM(D2:D12)</f>
        <v>10</v>
      </c>
      <c r="E13" s="5">
        <f>SUM(E2:E12)</f>
        <v>2738400</v>
      </c>
      <c r="F13" s="6">
        <f>SUM(F2:F12)</f>
        <v>443700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F288-0F75-41D5-AD48-E8D6757C9BEA}">
  <dimension ref="A1:F14"/>
  <sheetViews>
    <sheetView workbookViewId="0">
      <selection sqref="A1:F13"/>
    </sheetView>
  </sheetViews>
  <sheetFormatPr defaultRowHeight="14.4" x14ac:dyDescent="0.3"/>
  <cols>
    <col min="1" max="2" width="14" customWidth="1"/>
    <col min="3" max="3" width="14.6640625" customWidth="1"/>
    <col min="4" max="4" width="14" customWidth="1"/>
    <col min="5" max="5" width="11" customWidth="1"/>
    <col min="6" max="6" width="11.441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17</v>
      </c>
    </row>
    <row r="2" spans="1:6" x14ac:dyDescent="0.3">
      <c r="A2" s="1" t="s">
        <v>5</v>
      </c>
      <c r="B2" s="3">
        <v>382</v>
      </c>
      <c r="C2" s="3">
        <v>41</v>
      </c>
      <c r="D2" s="3"/>
      <c r="E2" s="5">
        <v>207734</v>
      </c>
      <c r="F2" s="6">
        <v>200000</v>
      </c>
    </row>
    <row r="3" spans="1:6" x14ac:dyDescent="0.3">
      <c r="A3" s="1" t="s">
        <v>6</v>
      </c>
      <c r="B3" s="3">
        <v>411</v>
      </c>
      <c r="C3" s="3">
        <v>7</v>
      </c>
      <c r="D3" s="3">
        <v>0</v>
      </c>
      <c r="E3" s="3"/>
      <c r="F3" s="4">
        <v>0</v>
      </c>
    </row>
    <row r="4" spans="1:6" x14ac:dyDescent="0.3">
      <c r="A4" s="1" t="s">
        <v>8</v>
      </c>
      <c r="B4" s="3">
        <v>44</v>
      </c>
      <c r="C4" s="3">
        <v>0</v>
      </c>
      <c r="D4" s="3">
        <v>0</v>
      </c>
      <c r="E4" s="3"/>
      <c r="F4" s="6">
        <v>200000</v>
      </c>
    </row>
    <row r="5" spans="1:6" x14ac:dyDescent="0.3">
      <c r="A5" s="1" t="s">
        <v>7</v>
      </c>
      <c r="B5" s="3">
        <v>20</v>
      </c>
      <c r="C5" s="3">
        <v>1</v>
      </c>
      <c r="D5" s="3">
        <v>0</v>
      </c>
      <c r="E5" s="3">
        <v>0</v>
      </c>
      <c r="F5" s="6">
        <v>43700</v>
      </c>
    </row>
    <row r="6" spans="1:6" ht="28.8" x14ac:dyDescent="0.3">
      <c r="A6" s="1" t="s">
        <v>9</v>
      </c>
      <c r="B6" s="3">
        <v>3</v>
      </c>
      <c r="C6" s="3">
        <v>1</v>
      </c>
      <c r="D6" s="3">
        <v>0</v>
      </c>
      <c r="E6" s="3">
        <v>0</v>
      </c>
      <c r="F6" s="4">
        <v>0</v>
      </c>
    </row>
    <row r="7" spans="1:6" ht="28.8" x14ac:dyDescent="0.3">
      <c r="A7" s="1" t="s">
        <v>10</v>
      </c>
      <c r="B7" s="3">
        <v>0</v>
      </c>
      <c r="C7" s="3">
        <v>12</v>
      </c>
      <c r="D7" s="3">
        <v>13</v>
      </c>
      <c r="E7" s="5">
        <v>27248</v>
      </c>
      <c r="F7" s="4">
        <v>0</v>
      </c>
    </row>
    <row r="8" spans="1:6" x14ac:dyDescent="0.3">
      <c r="A8" s="1" t="s">
        <v>11</v>
      </c>
      <c r="B8" s="3">
        <v>74</v>
      </c>
      <c r="C8" s="3">
        <v>5</v>
      </c>
      <c r="D8" s="3">
        <v>0</v>
      </c>
      <c r="E8" s="3"/>
      <c r="F8" s="4">
        <v>0</v>
      </c>
    </row>
    <row r="9" spans="1:6" x14ac:dyDescent="0.3">
      <c r="A9" s="1" t="s">
        <v>12</v>
      </c>
      <c r="B9" s="3">
        <v>12</v>
      </c>
      <c r="C9" s="3">
        <v>0</v>
      </c>
      <c r="D9" s="3">
        <v>0</v>
      </c>
      <c r="E9" s="3">
        <v>0</v>
      </c>
      <c r="F9" s="4">
        <v>0</v>
      </c>
    </row>
    <row r="10" spans="1:6" ht="28.8" x14ac:dyDescent="0.3">
      <c r="A10" s="1" t="s">
        <v>13</v>
      </c>
      <c r="B10" s="3">
        <v>5</v>
      </c>
      <c r="C10" s="3">
        <v>3</v>
      </c>
      <c r="D10" s="3">
        <v>0</v>
      </c>
      <c r="E10" s="3">
        <v>0</v>
      </c>
      <c r="F10" s="4">
        <v>0</v>
      </c>
    </row>
    <row r="11" spans="1:6" x14ac:dyDescent="0.3">
      <c r="A11" s="1" t="s">
        <v>14</v>
      </c>
      <c r="B11" s="3">
        <v>4</v>
      </c>
      <c r="C11" s="3">
        <v>0</v>
      </c>
      <c r="D11" s="3">
        <v>0</v>
      </c>
      <c r="E11" s="3">
        <v>0</v>
      </c>
      <c r="F11" s="4">
        <v>0</v>
      </c>
    </row>
    <row r="12" spans="1:6" x14ac:dyDescent="0.3">
      <c r="A12" s="1" t="s">
        <v>15</v>
      </c>
      <c r="B12" s="3">
        <v>0</v>
      </c>
      <c r="C12" s="3">
        <v>56</v>
      </c>
      <c r="D12" s="3"/>
      <c r="E12" s="5">
        <v>317737</v>
      </c>
      <c r="F12" s="4">
        <v>0</v>
      </c>
    </row>
    <row r="13" spans="1:6" x14ac:dyDescent="0.3">
      <c r="A13" s="1" t="s">
        <v>16</v>
      </c>
      <c r="B13" s="3">
        <f>SUM(B2:B12)</f>
        <v>955</v>
      </c>
      <c r="C13" s="3">
        <f>SUM(C2:C12)</f>
        <v>126</v>
      </c>
      <c r="D13" s="3">
        <f>SUM(D2:D12)</f>
        <v>13</v>
      </c>
      <c r="E13" s="5">
        <f>SUM(E2:E12)</f>
        <v>552719</v>
      </c>
      <c r="F13" s="6">
        <f>SUM(F2:F12)</f>
        <v>443700</v>
      </c>
    </row>
    <row r="14" spans="1:6" x14ac:dyDescent="0.3">
      <c r="C14">
        <f>126-C13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Кредит</vt:lpstr>
      <vt:lpstr>БГ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2026-03-03T10:10:44Z</dcterms:modified>
</cp:coreProperties>
</file>